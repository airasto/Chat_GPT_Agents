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íprava" sheetId="1" state="visible" r:id="rId3"/>
    <sheet name="Harmonogram" sheetId="2" state="visible" r:id="rId4"/>
    <sheet name="Skúšobný beh" sheetId="3" state="visible" r:id="rId5"/>
    <sheet name="Rozhodovacia matica" sheetId="4" state="visible" r:id="rId6"/>
    <sheet name="Rubrika" sheetId="5" state="visible" r:id="rId7"/>
    <sheet name="Zdroj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<sst xmlns="http://schemas.openxmlformats.org/spreadsheetml/2006/main" count="261" uniqueCount="179">
  <si>
    <t xml:space="preserve">Príprava</t>
  </si>
  <si>
    <t xml:space="preserve">Kontrolný zoznam. Žlté bunky vypĺňate vy, stav vyberte zo zoznamu.</t>
  </si>
  <si>
    <t xml:space="preserve">Kedy</t>
  </si>
  <si>
    <t xml:space="preserve">Úloha</t>
  </si>
  <si>
    <t xml:space="preserve">Kto</t>
  </si>
  <si>
    <t xml:space="preserve">Termín</t>
  </si>
  <si>
    <t xml:space="preserve">Stav</t>
  </si>
  <si>
    <t xml:space="preserve">Poznámka</t>
  </si>
  <si>
    <t xml:space="preserve">T−10</t>
  </si>
  <si>
    <t xml:space="preserve">Poslať e-mail p. Grobarčíkovi (súbor 05)</t>
  </si>
  <si>
    <t xml:space="preserve">lektor</t>
  </si>
  <si>
    <t xml:space="preserve">Otvorené</t>
  </si>
  <si>
    <t xml:space="preserve">Potvrdiť počet a mená účastníkov</t>
  </si>
  <si>
    <t xml:space="preserve">objednávateľ</t>
  </si>
  <si>
    <t xml:space="preserve">Súhlas s nahratím firemných dokumentov</t>
  </si>
  <si>
    <t xml:space="preserve">T−7</t>
  </si>
  <si>
    <t xml:space="preserve">Dokúpiť 8. miesto, ak príde 7 účastníkov</t>
  </si>
  <si>
    <t xml:space="preserve">Pozvať účastníkov do priestoru (rola Member)</t>
  </si>
  <si>
    <t xml:space="preserve">Zapnúť pre členov „Enable agents“ a „Enable agent building“</t>
  </si>
  <si>
    <t xml:space="preserve">Povoliť zápisové akcie Gmailu pre ukážku</t>
  </si>
  <si>
    <t xml:space="preserve">Demo Google Drive: priečinok Altenova_modelove_data a plánovacia tabuľka</t>
  </si>
  <si>
    <t xml:space="preserve">T−5</t>
  </si>
  <si>
    <t xml:space="preserve">Postaviť záložného agenta 1 a skopírovať odkaz</t>
  </si>
  <si>
    <t xml:space="preserve">Postaviť ukážkového agenta 2 s Gmailom (Always ask, iba koncept)</t>
  </si>
  <si>
    <t xml:space="preserve">Postaviť ukážkového agenta 3 s Google Drive a plánom</t>
  </si>
  <si>
    <t xml:space="preserve">T−3</t>
  </si>
  <si>
    <t xml:space="preserve">Skúšobný beh všetkých cvičení (hárok Skúšobný beh)</t>
  </si>
  <si>
    <t xml:space="preserve">Skontrolovať spotrebu po skúšobnom behu</t>
  </si>
  <si>
    <t xml:space="preserve">Overiť zdieľanie projektov a najkratší interval plánu</t>
  </si>
  <si>
    <t xml:space="preserve">T−1</t>
  </si>
  <si>
    <t xml:space="preserve">Testovací účet Member vie vytvoriť agenta</t>
  </si>
  <si>
    <t xml:space="preserve">Vytlačiť pracovné zošity a zadania (8 ks)</t>
  </si>
  <si>
    <t xml:space="preserve">ZIP s podkladmi na USB a v e-maile</t>
  </si>
  <si>
    <t xml:space="preserve">Verzia prezentácie bez poznámok pre klienta</t>
  </si>
  <si>
    <t xml:space="preserve">Po workshope</t>
  </si>
  <si>
    <t xml:space="preserve">Vypnúť plány agentov (svoje aj účastníkov)</t>
  </si>
  <si>
    <t xml:space="preserve">lektor + účastníci</t>
  </si>
  <si>
    <t xml:space="preserve">Odpojiť Gmail a Google Drive od agentov</t>
  </si>
  <si>
    <t xml:space="preserve">Prenos projektov a agentov do priestoru Altenovy, potom zrušiť priestor</t>
  </si>
  <si>
    <t xml:space="preserve">lektor + objednávateľ</t>
  </si>
  <si>
    <t xml:space="preserve">Otvorené úlohy</t>
  </si>
  <si>
    <t xml:space="preserve">Hotové úlohy</t>
  </si>
  <si>
    <t xml:space="preserve">Harmonogram</t>
  </si>
  <si>
    <t xml:space="preserve">Čistý čas bez prestávok. V = výklad, ukážky, vyhodnotenie; P = samostatná práca. Minúty môžete upraviť.</t>
  </si>
  <si>
    <t xml:space="preserve">Čas</t>
  </si>
  <si>
    <t xml:space="preserve">Blok</t>
  </si>
  <si>
    <t xml:space="preserve">V (min)</t>
  </si>
  <si>
    <t xml:space="preserve">P (min)</t>
  </si>
  <si>
    <t xml:space="preserve">Spolu</t>
  </si>
  <si>
    <t xml:space="preserve">Po 9:00–10:00</t>
  </si>
  <si>
    <t xml:space="preserve">Úvod, ukážky, orientačné cvičenie</t>
  </si>
  <si>
    <t xml:space="preserve">Po 10:15–11:05</t>
  </si>
  <si>
    <t xml:space="preserve">Postup 1: dokumenty</t>
  </si>
  <si>
    <t xml:space="preserve">Po 11:05–12:00</t>
  </si>
  <si>
    <t xml:space="preserve">Postup 2: šablóna</t>
  </si>
  <si>
    <t xml:space="preserve">Po 13:00–14:30</t>
  </si>
  <si>
    <t xml:space="preserve">Agent 1: kontrola zmluvy</t>
  </si>
  <si>
    <t xml:space="preserve">Po 14:45–15:40</t>
  </si>
  <si>
    <t xml:space="preserve">Agent 2: zápis z porady</t>
  </si>
  <si>
    <t xml:space="preserve">Po 15:40–16:40</t>
  </si>
  <si>
    <t xml:space="preserve">Agent 3: prehľad plánu</t>
  </si>
  <si>
    <t xml:space="preserve">Po 16:40–17:00</t>
  </si>
  <si>
    <t xml:space="preserve">Kedy projekt a kedy agent, matica</t>
  </si>
  <si>
    <t xml:space="preserve">Ut 9:00–10:30</t>
  </si>
  <si>
    <t xml:space="preserve">Vlastný projekt alebo agent</t>
  </si>
  <si>
    <t xml:space="preserve">Ut 10:45–12:00</t>
  </si>
  <si>
    <t xml:space="preserve">Test kolegom a úpravy</t>
  </si>
  <si>
    <t xml:space="preserve">Ut 12:30–13:30</t>
  </si>
  <si>
    <t xml:space="preserve">Predstavenie výsledkov</t>
  </si>
  <si>
    <t xml:space="preserve">Ut 13:30–14:00</t>
  </si>
  <si>
    <t xml:space="preserve">Plán dokončenia a prenosu</t>
  </si>
  <si>
    <t xml:space="preserve">Podiel praktickej práce</t>
  </si>
  <si>
    <t xml:space="preserve">Kontrola: čistý čas 645 min</t>
  </si>
  <si>
    <t xml:space="preserve">Skúšobný beh</t>
  </si>
  <si>
    <t xml:space="preserve">Vyplňte pri skúšobnom behu T−3. Do stĺpca Slovenský názov si zapíšte, ako sa tlačidlá volajú v rozhraní.</t>
  </si>
  <si>
    <t xml:space="preserve">Cvičenie</t>
  </si>
  <si>
    <t xml:space="preserve">Test</t>
  </si>
  <si>
    <t xml:space="preserve">Očakávaný výsledok</t>
  </si>
  <si>
    <t xml:space="preserve">Výsledok OK?</t>
  </si>
  <si>
    <t xml:space="preserve">Čas (min)</t>
  </si>
  <si>
    <t xml:space="preserve">Spotreba / poznámka</t>
  </si>
  <si>
    <t xml:space="preserve">Slovenský názov tlačidla</t>
  </si>
  <si>
    <t xml:space="preserve">Úvod</t>
  </si>
  <si>
    <t xml:space="preserve">Prvý projekt</t>
  </si>
  <si>
    <t xml:space="preserve">žiadna cena ani termín; zoznam chýbajúcich údajov</t>
  </si>
  <si>
    <t xml:space="preserve">Postup 1</t>
  </si>
  <si>
    <t xml:space="preserve">Otázka 1</t>
  </si>
  <si>
    <t xml:space="preserve">pozri lektorský master</t>
  </si>
  <si>
    <t xml:space="preserve">Otázka 2</t>
  </si>
  <si>
    <t xml:space="preserve">Otázka 3</t>
  </si>
  <si>
    <t xml:space="preserve">Otázka 4</t>
  </si>
  <si>
    <t xml:space="preserve">Otázka 5</t>
  </si>
  <si>
    <t xml:space="preserve">Otázka 6</t>
  </si>
  <si>
    <t xml:space="preserve">Porovnanie vydaní</t>
  </si>
  <si>
    <t xml:space="preserve">zmeny v čl. 1, 3, 4, 6, 7, 9</t>
  </si>
  <si>
    <t xml:space="preserve">Postup 2</t>
  </si>
  <si>
    <t xml:space="preserve">Zápis</t>
  </si>
  <si>
    <t xml:space="preserve">rozpor 8/9 m, úloha bez zodpovedného</t>
  </si>
  <si>
    <t xml:space="preserve">Technická správa</t>
  </si>
  <si>
    <t xml:space="preserve">kap. 4 prázdna, [doplniť] pri chýbajúcich údajoch</t>
  </si>
  <si>
    <t xml:space="preserve">Agent 1</t>
  </si>
  <si>
    <t xml:space="preserve">T1 bežný vstup</t>
  </si>
  <si>
    <t xml:space="preserve">4 odchýlky, 1 chýba (S4)</t>
  </si>
  <si>
    <t xml:space="preserve">T2 iný typ zmluvy</t>
  </si>
  <si>
    <t xml:space="preserve">N1, N2, N4 odchýlka, N3 čiastočne</t>
  </si>
  <si>
    <t xml:space="preserve">T3 chýbajúci vstup</t>
  </si>
  <si>
    <t xml:space="preserve">požiada o súbor</t>
  </si>
  <si>
    <t xml:space="preserve">T4 mimo rozsahu</t>
  </si>
  <si>
    <t xml:space="preserve">odmietne, odporučí advokáta</t>
  </si>
  <si>
    <t xml:space="preserve">Agent 2</t>
  </si>
  <si>
    <t xml:space="preserve">rozpory v otvorených otázkach, 4 adresáti</t>
  </si>
  <si>
    <t xml:space="preserve">T2 chýbajúce údaje</t>
  </si>
  <si>
    <t xml:space="preserve">nevymyslí dátum ani termíny</t>
  </si>
  <si>
    <t xml:space="preserve">T3 mimo rozsahu</t>
  </si>
  <si>
    <t xml:space="preserve">neodošle</t>
  </si>
  <si>
    <t xml:space="preserve">Agent 2 lektor</t>
  </si>
  <si>
    <t xml:space="preserve">Gmail koncept</t>
  </si>
  <si>
    <t xml:space="preserve">pred konceptom žiada schválenie</t>
  </si>
  <si>
    <t xml:space="preserve">Agent 3</t>
  </si>
  <si>
    <t xml:space="preserve">T1 bežný beh</t>
  </si>
  <si>
    <t xml:space="preserve">3 bez dátumu, 2 kolízie, 1 duplicita, jednotky, mená</t>
  </si>
  <si>
    <t xml:space="preserve">T2 chýbajúci údaj</t>
  </si>
  <si>
    <t xml:space="preserve">SK-1022 bez dátumu</t>
  </si>
  <si>
    <t xml:space="preserve">mimo rozsahu</t>
  </si>
  <si>
    <t xml:space="preserve">Agent 3 lektor</t>
  </si>
  <si>
    <t xml:space="preserve">Drive po zmene dátumu</t>
  </si>
  <si>
    <t xml:space="preserve">SK-1022 už nehlási ako chýbajúci</t>
  </si>
  <si>
    <t xml:space="preserve">Plán spúšťania</t>
  </si>
  <si>
    <t xml:space="preserve">zapísať ponúkané intervaly</t>
  </si>
  <si>
    <t xml:space="preserve">Testov OK</t>
  </si>
  <si>
    <t xml:space="preserve">Čas spolu (min)</t>
  </si>
  <si>
    <t xml:space="preserve">Rozhodovacia matica</t>
  </si>
  <si>
    <t xml:space="preserve">Body 1–3. Náročnosť kontroly: 3 = výstup overím rýchlo. Uskutočniteľnosť: 3 = zvládnem za 3 hodiny s 1–3 súbormi. Prvý riadok je príklad.</t>
  </si>
  <si>
    <t xml:space="preserve">Účastník</t>
  </si>
  <si>
    <t xml:space="preserve">Kandidátna úloha</t>
  </si>
  <si>
    <t xml:space="preserve">Téma (1–7)</t>
  </si>
  <si>
    <t xml:space="preserve">Projekt / agent</t>
  </si>
  <si>
    <t xml:space="preserve">Prínos</t>
  </si>
  <si>
    <t xml:space="preserve">Opakovateľnosť</t>
  </si>
  <si>
    <t xml:space="preserve">Dostupnosť vstupov</t>
  </si>
  <si>
    <t xml:space="preserve">Náročnosť kontroly</t>
  </si>
  <si>
    <t xml:space="preserve">Uskutočniteľnosť</t>
  </si>
  <si>
    <t xml:space="preserve">Spolu (max 15)</t>
  </si>
  <si>
    <t xml:space="preserve">Odporúčanie</t>
  </si>
  <si>
    <t xml:space="preserve">Príklad: Ján (projekcia)</t>
  </si>
  <si>
    <t xml:space="preserve">Návrh kapitoly technickej správy</t>
  </si>
  <si>
    <t xml:space="preserve">projekt</t>
  </si>
  <si>
    <t xml:space="preserve">Témy: 1 normy, 2 porovnanie noriem, 3 technické správy, 4 zápisy, 5 ZoD a NDA, 6 výkaz výmer, 7 plánovacia tabuľka. Hranice 12 a 9 bodov sú návrh lektora.</t>
  </si>
  <si>
    <t xml:space="preserve">Rubrika</t>
  </si>
  <si>
    <t xml:space="preserve">Body 1–3 podľa rubriky v lektorskom masteri. Priemer 2 a viac = funkčný prototyp. Schválenie na používanie sa na workshope nehodnotí.</t>
  </si>
  <si>
    <t xml:space="preserve">Orientácia v postupoch</t>
  </si>
  <si>
    <t xml:space="preserve">Vhodnosť výberu úlohy</t>
  </si>
  <si>
    <t xml:space="preserve">Dohľadateľnosť zdrojov</t>
  </si>
  <si>
    <t xml:space="preserve">Chýbajúce údaje</t>
  </si>
  <si>
    <t xml:space="preserve">Kvalita výstupu</t>
  </si>
  <si>
    <t xml:space="preserve">Testovanie</t>
  </si>
  <si>
    <t xml:space="preserve">Použitie kolegom</t>
  </si>
  <si>
    <t xml:space="preserve">Priemer</t>
  </si>
  <si>
    <t xml:space="preserve">Výsledok</t>
  </si>
  <si>
    <t xml:space="preserve">Zdroje</t>
  </si>
  <si>
    <t xml:space="preserve">Oficiálne zdroje použité v podkladoch.</t>
  </si>
  <si>
    <t xml:space="preserve">Zdroj</t>
  </si>
  <si>
    <t xml:space="preserve">Odkaz</t>
  </si>
  <si>
    <t xml:space="preserve">Overené</t>
  </si>
  <si>
    <t xml:space="preserve">ChatGPT Workspace Agents for Enterprise and Business</t>
  </si>
  <si>
    <t xml:space="preserve">https://help.openai.com/en/articles/20001143-chatgpt-workspace-agents-for-enterprise-and-business</t>
  </si>
  <si>
    <t xml:space="preserve">10. 10. 2026</t>
  </si>
  <si>
    <t xml:space="preserve">Building workspace agents in ChatGPT (OpenAI Cookbook)</t>
  </si>
  <si>
    <t xml:space="preserve">https://developers.openai.com/cookbook/articles/chatgpt-agents-sales-meeting-prep</t>
  </si>
  <si>
    <t xml:space="preserve">ChatGPT Business release notes</t>
  </si>
  <si>
    <t xml:space="preserve">https://help.openai.com/en/articles/11391654-chatgpt-business-release-notes</t>
  </si>
  <si>
    <t xml:space="preserve">Use ChatGPT</t>
  </si>
  <si>
    <t xml:space="preserve">https://learn.chatgpt.com/docs/use-chatgpt</t>
  </si>
  <si>
    <t xml:space="preserve">ChatGPT pricing</t>
  </si>
  <si>
    <t xml:space="preserve">https://learn.chatgpt.com/docs/pricing</t>
  </si>
  <si>
    <t xml:space="preserve">Roles and workspace permissions</t>
  </si>
  <si>
    <t xml:space="preserve">https://learn.chatgpt.com/docs/enterprise/roles-and-workspace-permissions</t>
  </si>
  <si>
    <t xml:space="preserve">Apps and connectors</t>
  </si>
  <si>
    <t xml:space="preserve">https://learn.chatgpt.com/docs/enterprise/apps-and-connectors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</si>
</sst>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&quot;. &quot;m&quot;. &quot;yyyy"/>
    <numFmt numFmtId="166" formatCode="General"/>
    <numFmt numFmtId="167" formatCode="0.0%"/>
    <numFmt numFmtId="168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4595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name val="Arial"/>
      <family val="0"/>
      <charset val="1"/>
    </font>
    <font>
      <u val="single"/>
      <sz val="11"/>
      <color rgb="FF0563C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60000"/>
        <bgColor rgb="FF80000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6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4595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help.openai.com/en/articles/20001143-chatgpt-workspace-agents-for-enterprise-and-business" TargetMode="External"/><Relationship Id="rId2" Type="http://schemas.openxmlformats.org/officeDocument/2006/relationships/hyperlink" Target="https://developers.openai.com/cookbook/articles/chatgpt-agents-sales-meeting-prep" TargetMode="External"/><Relationship Id="rId3" Type="http://schemas.openxmlformats.org/officeDocument/2006/relationships/hyperlink" Target="https://help.openai.com/en/articles/11391654-chatgpt-business-release-notes" TargetMode="External"/><Relationship Id="rId4" Type="http://schemas.openxmlformats.org/officeDocument/2006/relationships/hyperlink" Target="https://learn.chatgpt.com/docs/use-chatgpt" TargetMode="External"/><Relationship Id="rId5" Type="http://schemas.openxmlformats.org/officeDocument/2006/relationships/hyperlink" Target="https://learn.chatgpt.com/docs/pricing" TargetMode="External"/><Relationship Id="rId6" Type="http://schemas.openxmlformats.org/officeDocument/2006/relationships/hyperlink" Target="https://learn.chatgpt.com/docs/enterprise/roles-and-workspace-permissions" TargetMode="External"/><Relationship Id="rId7" Type="http://schemas.openxmlformats.org/officeDocument/2006/relationships/hyperlink" Target="https://learn.chatgpt.com/docs/enterprise/apps-and-connector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70"/>
    <col collapsed="false" customWidth="true" hidden="false" outlineLevel="0" max="3" min="3" style="0" width="20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4" t="s">
        <v>9</v>
      </c>
      <c r="C5" s="4" t="s">
        <v>10</v>
      </c>
      <c r="D5" s="5"/>
      <c r="E5" s="6" t="s">
        <v>11</v>
      </c>
      <c r="F5" s="6"/>
    </row>
    <row r="6" customFormat="false" ht="15" hidden="false" customHeight="false" outlineLevel="0" collapsed="false">
      <c r="A6" s="4" t="s">
        <v>8</v>
      </c>
      <c r="B6" s="4" t="s">
        <v>12</v>
      </c>
      <c r="C6" s="4" t="s">
        <v>13</v>
      </c>
      <c r="D6" s="5"/>
      <c r="E6" s="6" t="s">
        <v>11</v>
      </c>
      <c r="F6" s="6"/>
    </row>
    <row r="7" customFormat="false" ht="15" hidden="false" customHeight="false" outlineLevel="0" collapsed="false">
      <c r="A7" s="4" t="s">
        <v>8</v>
      </c>
      <c r="B7" s="4" t="s">
        <v>14</v>
      </c>
      <c r="C7" s="4" t="s">
        <v>13</v>
      </c>
      <c r="D7" s="5"/>
      <c r="E7" s="6" t="s">
        <v>11</v>
      </c>
      <c r="F7" s="6"/>
    </row>
    <row r="8" customFormat="false" ht="15" hidden="false" customHeight="false" outlineLevel="0" collapsed="false">
      <c r="A8" s="4" t="s">
        <v>15</v>
      </c>
      <c r="B8" s="4" t="s">
        <v>16</v>
      </c>
      <c r="C8" s="4" t="s">
        <v>10</v>
      </c>
      <c r="D8" s="5"/>
      <c r="E8" s="6" t="s">
        <v>11</v>
      </c>
      <c r="F8" s="6"/>
    </row>
    <row r="9" customFormat="false" ht="15" hidden="false" customHeight="false" outlineLevel="0" collapsed="false">
      <c r="A9" s="4" t="s">
        <v>15</v>
      </c>
      <c r="B9" s="4" t="s">
        <v>17</v>
      </c>
      <c r="C9" s="4" t="s">
        <v>10</v>
      </c>
      <c r="D9" s="5"/>
      <c r="E9" s="6" t="s">
        <v>11</v>
      </c>
      <c r="F9" s="6"/>
    </row>
    <row r="10" customFormat="false" ht="15" hidden="false" customHeight="false" outlineLevel="0" collapsed="false">
      <c r="A10" s="4" t="s">
        <v>15</v>
      </c>
      <c r="B10" s="4" t="s">
        <v>18</v>
      </c>
      <c r="C10" s="4" t="s">
        <v>10</v>
      </c>
      <c r="D10" s="5"/>
      <c r="E10" s="6" t="s">
        <v>11</v>
      </c>
      <c r="F10" s="6"/>
    </row>
    <row r="11" customFormat="false" ht="15" hidden="false" customHeight="false" outlineLevel="0" collapsed="false">
      <c r="A11" s="4" t="s">
        <v>15</v>
      </c>
      <c r="B11" s="4" t="s">
        <v>19</v>
      </c>
      <c r="C11" s="4" t="s">
        <v>10</v>
      </c>
      <c r="D11" s="5"/>
      <c r="E11" s="6" t="s">
        <v>11</v>
      </c>
      <c r="F11" s="6"/>
    </row>
    <row r="12" customFormat="false" ht="26.85" hidden="false" customHeight="false" outlineLevel="0" collapsed="false">
      <c r="A12" s="4" t="s">
        <v>15</v>
      </c>
      <c r="B12" s="4" t="s">
        <v>20</v>
      </c>
      <c r="C12" s="4" t="s">
        <v>10</v>
      </c>
      <c r="D12" s="5"/>
      <c r="E12" s="6" t="s">
        <v>11</v>
      </c>
      <c r="F12" s="6"/>
    </row>
    <row r="13" customFormat="false" ht="15" hidden="false" customHeight="false" outlineLevel="0" collapsed="false">
      <c r="A13" s="4" t="s">
        <v>21</v>
      </c>
      <c r="B13" s="4" t="s">
        <v>22</v>
      </c>
      <c r="C13" s="4" t="s">
        <v>10</v>
      </c>
      <c r="D13" s="5"/>
      <c r="E13" s="6" t="s">
        <v>11</v>
      </c>
      <c r="F13" s="6"/>
    </row>
    <row r="14" customFormat="false" ht="15" hidden="false" customHeight="false" outlineLevel="0" collapsed="false">
      <c r="A14" s="4" t="s">
        <v>21</v>
      </c>
      <c r="B14" s="4" t="s">
        <v>23</v>
      </c>
      <c r="C14" s="4" t="s">
        <v>10</v>
      </c>
      <c r="D14" s="5"/>
      <c r="E14" s="6" t="s">
        <v>11</v>
      </c>
      <c r="F14" s="6"/>
    </row>
    <row r="15" customFormat="false" ht="15" hidden="false" customHeight="false" outlineLevel="0" collapsed="false">
      <c r="A15" s="4" t="s">
        <v>21</v>
      </c>
      <c r="B15" s="4" t="s">
        <v>24</v>
      </c>
      <c r="C15" s="4" t="s">
        <v>10</v>
      </c>
      <c r="D15" s="5"/>
      <c r="E15" s="6" t="s">
        <v>11</v>
      </c>
      <c r="F15" s="6"/>
    </row>
    <row r="16" customFormat="false" ht="15" hidden="false" customHeight="false" outlineLevel="0" collapsed="false">
      <c r="A16" s="4" t="s">
        <v>25</v>
      </c>
      <c r="B16" s="4" t="s">
        <v>26</v>
      </c>
      <c r="C16" s="4" t="s">
        <v>10</v>
      </c>
      <c r="D16" s="5"/>
      <c r="E16" s="6" t="s">
        <v>11</v>
      </c>
      <c r="F16" s="6"/>
    </row>
    <row r="17" customFormat="false" ht="15" hidden="false" customHeight="false" outlineLevel="0" collapsed="false">
      <c r="A17" s="4" t="s">
        <v>25</v>
      </c>
      <c r="B17" s="4" t="s">
        <v>27</v>
      </c>
      <c r="C17" s="4" t="s">
        <v>10</v>
      </c>
      <c r="D17" s="5"/>
      <c r="E17" s="6" t="s">
        <v>11</v>
      </c>
      <c r="F17" s="6"/>
    </row>
    <row r="18" customFormat="false" ht="15" hidden="false" customHeight="false" outlineLevel="0" collapsed="false">
      <c r="A18" s="4" t="s">
        <v>25</v>
      </c>
      <c r="B18" s="4" t="s">
        <v>28</v>
      </c>
      <c r="C18" s="4" t="s">
        <v>10</v>
      </c>
      <c r="D18" s="5"/>
      <c r="E18" s="6" t="s">
        <v>11</v>
      </c>
      <c r="F18" s="6"/>
    </row>
    <row r="19" customFormat="false" ht="15" hidden="false" customHeight="false" outlineLevel="0" collapsed="false">
      <c r="A19" s="4" t="s">
        <v>29</v>
      </c>
      <c r="B19" s="4" t="s">
        <v>30</v>
      </c>
      <c r="C19" s="4" t="s">
        <v>10</v>
      </c>
      <c r="D19" s="5"/>
      <c r="E19" s="6" t="s">
        <v>11</v>
      </c>
      <c r="F19" s="6"/>
    </row>
    <row r="20" customFormat="false" ht="15" hidden="false" customHeight="false" outlineLevel="0" collapsed="false">
      <c r="A20" s="4" t="s">
        <v>29</v>
      </c>
      <c r="B20" s="4" t="s">
        <v>31</v>
      </c>
      <c r="C20" s="4" t="s">
        <v>10</v>
      </c>
      <c r="D20" s="5"/>
      <c r="E20" s="6" t="s">
        <v>11</v>
      </c>
      <c r="F20" s="6"/>
    </row>
    <row r="21" customFormat="false" ht="15" hidden="false" customHeight="false" outlineLevel="0" collapsed="false">
      <c r="A21" s="4" t="s">
        <v>29</v>
      </c>
      <c r="B21" s="4" t="s">
        <v>32</v>
      </c>
      <c r="C21" s="4" t="s">
        <v>10</v>
      </c>
      <c r="D21" s="5"/>
      <c r="E21" s="6" t="s">
        <v>11</v>
      </c>
      <c r="F21" s="6"/>
    </row>
    <row r="22" customFormat="false" ht="15" hidden="false" customHeight="false" outlineLevel="0" collapsed="false">
      <c r="A22" s="4" t="s">
        <v>29</v>
      </c>
      <c r="B22" s="4" t="s">
        <v>33</v>
      </c>
      <c r="C22" s="4" t="s">
        <v>10</v>
      </c>
      <c r="D22" s="5"/>
      <c r="E22" s="6" t="s">
        <v>11</v>
      </c>
      <c r="F22" s="6"/>
    </row>
    <row r="23" customFormat="false" ht="26.85" hidden="false" customHeight="false" outlineLevel="0" collapsed="false">
      <c r="A23" s="4" t="s">
        <v>34</v>
      </c>
      <c r="B23" s="4" t="s">
        <v>35</v>
      </c>
      <c r="C23" s="4" t="s">
        <v>36</v>
      </c>
      <c r="D23" s="5"/>
      <c r="E23" s="6" t="s">
        <v>11</v>
      </c>
      <c r="F23" s="6"/>
    </row>
    <row r="24" customFormat="false" ht="26.85" hidden="false" customHeight="false" outlineLevel="0" collapsed="false">
      <c r="A24" s="4" t="s">
        <v>34</v>
      </c>
      <c r="B24" s="4" t="s">
        <v>37</v>
      </c>
      <c r="C24" s="4" t="s">
        <v>10</v>
      </c>
      <c r="D24" s="5"/>
      <c r="E24" s="6" t="s">
        <v>11</v>
      </c>
      <c r="F24" s="6"/>
    </row>
    <row r="25" customFormat="false" ht="26.85" hidden="false" customHeight="false" outlineLevel="0" collapsed="false">
      <c r="A25" s="4" t="s">
        <v>34</v>
      </c>
      <c r="B25" s="4" t="s">
        <v>38</v>
      </c>
      <c r="C25" s="4" t="s">
        <v>39</v>
      </c>
      <c r="D25" s="5"/>
      <c r="E25" s="6" t="s">
        <v>11</v>
      </c>
      <c r="F25" s="6"/>
    </row>
    <row r="27" customFormat="false" ht="15" hidden="false" customHeight="false" outlineLevel="0" collapsed="false">
      <c r="B27" s="7" t="s">
        <v>40</v>
      </c>
      <c r="C27" s="7" t="n">
        <f aca="false">COUNTIF(E5:E25,"Otvorené")</f>
        <v>21</v>
      </c>
    </row>
    <row r="28" customFormat="false" ht="15" hidden="false" customHeight="false" outlineLevel="0" collapsed="false">
      <c r="B28" s="7" t="s">
        <v>41</v>
      </c>
      <c r="C28" s="7" t="n">
        <f aca="false">COUNTIF(E5:E25,"Hotové")</f>
        <v>0</v>
      </c>
    </row>
  </sheetData>
  <dataValidations count="1">
    <dataValidation allowBlank="false" errorStyle="stop" operator="between" showDropDown="false" showErrorMessage="false" showInputMessage="false" sqref="E5:E25" type="list">
      <formula1>"Otvorené,Rieši sa,Hotové,Nerelevantné"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5"/>
    <col collapsed="false" customWidth="true" hidden="false" outlineLevel="0" max="5" min="3" style="0" width="10"/>
  </cols>
  <sheetData>
    <row r="1" customFormat="false" ht="17.35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43</v>
      </c>
    </row>
    <row r="4" customFormat="false" ht="15" hidden="false" customHeight="false" outlineLevel="0" collapsed="false">
      <c r="A4" s="3" t="s">
        <v>44</v>
      </c>
      <c r="B4" s="3" t="s">
        <v>45</v>
      </c>
      <c r="C4" s="3" t="s">
        <v>46</v>
      </c>
      <c r="D4" s="3" t="s">
        <v>47</v>
      </c>
      <c r="E4" s="3" t="s">
        <v>48</v>
      </c>
    </row>
    <row r="5" customFormat="false" ht="15" hidden="false" customHeight="false" outlineLevel="0" collapsed="false">
      <c r="A5" s="4" t="s">
        <v>49</v>
      </c>
      <c r="B5" s="4" t="s">
        <v>50</v>
      </c>
      <c r="C5" s="6" t="n">
        <v>45</v>
      </c>
      <c r="D5" s="6" t="n">
        <v>15</v>
      </c>
      <c r="E5" s="8" t="n">
        <f aca="false">C5+D5</f>
        <v>60</v>
      </c>
    </row>
    <row r="6" customFormat="false" ht="15" hidden="false" customHeight="false" outlineLevel="0" collapsed="false">
      <c r="A6" s="4" t="s">
        <v>51</v>
      </c>
      <c r="B6" s="4" t="s">
        <v>52</v>
      </c>
      <c r="C6" s="6" t="n">
        <v>13</v>
      </c>
      <c r="D6" s="6" t="n">
        <v>37</v>
      </c>
      <c r="E6" s="8" t="n">
        <f aca="false">C6+D6</f>
        <v>50</v>
      </c>
    </row>
    <row r="7" customFormat="false" ht="15" hidden="false" customHeight="false" outlineLevel="0" collapsed="false">
      <c r="A7" s="4" t="s">
        <v>53</v>
      </c>
      <c r="B7" s="4" t="s">
        <v>54</v>
      </c>
      <c r="C7" s="6" t="n">
        <v>13</v>
      </c>
      <c r="D7" s="6" t="n">
        <v>42</v>
      </c>
      <c r="E7" s="8" t="n">
        <f aca="false">C7+D7</f>
        <v>55</v>
      </c>
    </row>
    <row r="8" customFormat="false" ht="15" hidden="false" customHeight="false" outlineLevel="0" collapsed="false">
      <c r="A8" s="4" t="s">
        <v>55</v>
      </c>
      <c r="B8" s="4" t="s">
        <v>56</v>
      </c>
      <c r="C8" s="6" t="n">
        <v>25</v>
      </c>
      <c r="D8" s="6" t="n">
        <v>65</v>
      </c>
      <c r="E8" s="8" t="n">
        <f aca="false">C8+D8</f>
        <v>90</v>
      </c>
    </row>
    <row r="9" customFormat="false" ht="15" hidden="false" customHeight="false" outlineLevel="0" collapsed="false">
      <c r="A9" s="4" t="s">
        <v>57</v>
      </c>
      <c r="B9" s="4" t="s">
        <v>58</v>
      </c>
      <c r="C9" s="6" t="n">
        <v>10</v>
      </c>
      <c r="D9" s="6" t="n">
        <v>45</v>
      </c>
      <c r="E9" s="8" t="n">
        <f aca="false">C9+D9</f>
        <v>55</v>
      </c>
    </row>
    <row r="10" customFormat="false" ht="15" hidden="false" customHeight="false" outlineLevel="0" collapsed="false">
      <c r="A10" s="4" t="s">
        <v>59</v>
      </c>
      <c r="B10" s="4" t="s">
        <v>60</v>
      </c>
      <c r="C10" s="6" t="n">
        <v>10</v>
      </c>
      <c r="D10" s="6" t="n">
        <v>50</v>
      </c>
      <c r="E10" s="8" t="n">
        <f aca="false">C10+D10</f>
        <v>60</v>
      </c>
    </row>
    <row r="11" customFormat="false" ht="15" hidden="false" customHeight="false" outlineLevel="0" collapsed="false">
      <c r="A11" s="4" t="s">
        <v>61</v>
      </c>
      <c r="B11" s="4" t="s">
        <v>62</v>
      </c>
      <c r="C11" s="6" t="n">
        <v>10</v>
      </c>
      <c r="D11" s="6" t="n">
        <v>10</v>
      </c>
      <c r="E11" s="8" t="n">
        <f aca="false">C11+D11</f>
        <v>20</v>
      </c>
    </row>
    <row r="12" customFormat="false" ht="15" hidden="false" customHeight="false" outlineLevel="0" collapsed="false">
      <c r="A12" s="4" t="s">
        <v>63</v>
      </c>
      <c r="B12" s="4" t="s">
        <v>64</v>
      </c>
      <c r="C12" s="6" t="n">
        <v>5</v>
      </c>
      <c r="D12" s="6" t="n">
        <v>85</v>
      </c>
      <c r="E12" s="8" t="n">
        <f aca="false">C12+D12</f>
        <v>90</v>
      </c>
    </row>
    <row r="13" customFormat="false" ht="15" hidden="false" customHeight="false" outlineLevel="0" collapsed="false">
      <c r="A13" s="4" t="s">
        <v>65</v>
      </c>
      <c r="B13" s="4" t="s">
        <v>66</v>
      </c>
      <c r="C13" s="6" t="n">
        <v>10</v>
      </c>
      <c r="D13" s="6" t="n">
        <v>65</v>
      </c>
      <c r="E13" s="8" t="n">
        <f aca="false">C13+D13</f>
        <v>75</v>
      </c>
    </row>
    <row r="14" customFormat="false" ht="15" hidden="false" customHeight="false" outlineLevel="0" collapsed="false">
      <c r="A14" s="4" t="s">
        <v>67</v>
      </c>
      <c r="B14" s="4" t="s">
        <v>68</v>
      </c>
      <c r="C14" s="6" t="n">
        <v>40</v>
      </c>
      <c r="D14" s="6" t="n">
        <v>20</v>
      </c>
      <c r="E14" s="8" t="n">
        <f aca="false">C14+D14</f>
        <v>60</v>
      </c>
    </row>
    <row r="15" customFormat="false" ht="15" hidden="false" customHeight="false" outlineLevel="0" collapsed="false">
      <c r="A15" s="4" t="s">
        <v>69</v>
      </c>
      <c r="B15" s="4" t="s">
        <v>70</v>
      </c>
      <c r="C15" s="6" t="n">
        <v>10</v>
      </c>
      <c r="D15" s="6" t="n">
        <v>20</v>
      </c>
      <c r="E15" s="8" t="n">
        <f aca="false">C15+D15</f>
        <v>30</v>
      </c>
    </row>
    <row r="16" customFormat="false" ht="15" hidden="false" customHeight="false" outlineLevel="0" collapsed="false">
      <c r="B16" s="7" t="s">
        <v>48</v>
      </c>
      <c r="C16" s="7" t="n">
        <f aca="false">SUM(C5:C15)</f>
        <v>191</v>
      </c>
      <c r="D16" s="7" t="n">
        <f aca="false">SUM(D5:D15)</f>
        <v>454</v>
      </c>
      <c r="E16" s="7" t="n">
        <f aca="false">SUM(E5:E15)</f>
        <v>645</v>
      </c>
    </row>
    <row r="17" customFormat="false" ht="15" hidden="false" customHeight="false" outlineLevel="0" collapsed="false">
      <c r="B17" s="8" t="s">
        <v>71</v>
      </c>
      <c r="D17" s="9" t="n">
        <f aca="false">D16/E16</f>
        <v>0.703875968992248</v>
      </c>
    </row>
    <row r="18" customFormat="false" ht="15" hidden="false" customHeight="false" outlineLevel="0" collapsed="false">
      <c r="B18" s="8" t="s">
        <v>72</v>
      </c>
      <c r="D18" s="0" t="str">
        <f aca="false">IF(E16=645,"OK","Upraviť")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7" min="6" style="0" width="30"/>
  </cols>
  <sheetData>
    <row r="1" customFormat="false" ht="17.35" hidden="false" customHeight="false" outlineLevel="0" collapsed="false">
      <c r="A1" s="1" t="s">
        <v>73</v>
      </c>
    </row>
    <row r="2" customFormat="false" ht="15" hidden="false" customHeight="false" outlineLevel="0" collapsed="false">
      <c r="A2" s="2" t="s">
        <v>74</v>
      </c>
    </row>
    <row r="4" customFormat="false" ht="26.85" hidden="false" customHeight="false" outlineLevel="0" collapsed="false">
      <c r="A4" s="3" t="s">
        <v>75</v>
      </c>
      <c r="B4" s="3" t="s">
        <v>76</v>
      </c>
      <c r="C4" s="3" t="s">
        <v>77</v>
      </c>
      <c r="D4" s="3" t="s">
        <v>78</v>
      </c>
      <c r="E4" s="3" t="s">
        <v>79</v>
      </c>
      <c r="F4" s="3" t="s">
        <v>80</v>
      </c>
      <c r="G4" s="3" t="s">
        <v>81</v>
      </c>
    </row>
    <row r="5" customFormat="false" ht="26.85" hidden="false" customHeight="false" outlineLevel="0" collapsed="false">
      <c r="A5" s="4" t="s">
        <v>82</v>
      </c>
      <c r="B5" s="4" t="s">
        <v>83</v>
      </c>
      <c r="C5" s="4" t="s">
        <v>84</v>
      </c>
      <c r="D5" s="6"/>
      <c r="E5" s="6"/>
      <c r="F5" s="6"/>
      <c r="G5" s="6"/>
    </row>
    <row r="6" customFormat="false" ht="15" hidden="false" customHeight="false" outlineLevel="0" collapsed="false">
      <c r="A6" s="4" t="s">
        <v>85</v>
      </c>
      <c r="B6" s="4" t="s">
        <v>86</v>
      </c>
      <c r="C6" s="4" t="s">
        <v>87</v>
      </c>
      <c r="D6" s="6"/>
      <c r="E6" s="6"/>
      <c r="F6" s="6"/>
      <c r="G6" s="6"/>
    </row>
    <row r="7" customFormat="false" ht="15" hidden="false" customHeight="false" outlineLevel="0" collapsed="false">
      <c r="A7" s="4" t="s">
        <v>85</v>
      </c>
      <c r="B7" s="4" t="s">
        <v>88</v>
      </c>
      <c r="C7" s="4" t="s">
        <v>87</v>
      </c>
      <c r="D7" s="6"/>
      <c r="E7" s="6"/>
      <c r="F7" s="6"/>
      <c r="G7" s="6"/>
    </row>
    <row r="8" customFormat="false" ht="15" hidden="false" customHeight="false" outlineLevel="0" collapsed="false">
      <c r="A8" s="4" t="s">
        <v>85</v>
      </c>
      <c r="B8" s="4" t="s">
        <v>89</v>
      </c>
      <c r="C8" s="4" t="s">
        <v>87</v>
      </c>
      <c r="D8" s="6"/>
      <c r="E8" s="6"/>
      <c r="F8" s="6"/>
      <c r="G8" s="6"/>
    </row>
    <row r="9" customFormat="false" ht="15" hidden="false" customHeight="false" outlineLevel="0" collapsed="false">
      <c r="A9" s="4" t="s">
        <v>85</v>
      </c>
      <c r="B9" s="4" t="s">
        <v>90</v>
      </c>
      <c r="C9" s="4" t="s">
        <v>87</v>
      </c>
      <c r="D9" s="6"/>
      <c r="E9" s="6"/>
      <c r="F9" s="6"/>
      <c r="G9" s="6"/>
    </row>
    <row r="10" customFormat="false" ht="15" hidden="false" customHeight="false" outlineLevel="0" collapsed="false">
      <c r="A10" s="4" t="s">
        <v>85</v>
      </c>
      <c r="B10" s="4" t="s">
        <v>91</v>
      </c>
      <c r="C10" s="4" t="s">
        <v>87</v>
      </c>
      <c r="D10" s="6"/>
      <c r="E10" s="6"/>
      <c r="F10" s="6"/>
      <c r="G10" s="6"/>
    </row>
    <row r="11" customFormat="false" ht="15" hidden="false" customHeight="false" outlineLevel="0" collapsed="false">
      <c r="A11" s="4" t="s">
        <v>85</v>
      </c>
      <c r="B11" s="4" t="s">
        <v>92</v>
      </c>
      <c r="C11" s="4" t="s">
        <v>87</v>
      </c>
      <c r="D11" s="6"/>
      <c r="E11" s="6"/>
      <c r="F11" s="6"/>
      <c r="G11" s="6"/>
    </row>
    <row r="12" customFormat="false" ht="15" hidden="false" customHeight="false" outlineLevel="0" collapsed="false">
      <c r="A12" s="4" t="s">
        <v>85</v>
      </c>
      <c r="B12" s="4" t="s">
        <v>93</v>
      </c>
      <c r="C12" s="4" t="s">
        <v>94</v>
      </c>
      <c r="D12" s="6"/>
      <c r="E12" s="6"/>
      <c r="F12" s="6"/>
      <c r="G12" s="6"/>
    </row>
    <row r="13" customFormat="false" ht="15" hidden="false" customHeight="false" outlineLevel="0" collapsed="false">
      <c r="A13" s="4" t="s">
        <v>95</v>
      </c>
      <c r="B13" s="4" t="s">
        <v>96</v>
      </c>
      <c r="C13" s="4" t="s">
        <v>97</v>
      </c>
      <c r="D13" s="6"/>
      <c r="E13" s="6"/>
      <c r="F13" s="6"/>
      <c r="G13" s="6"/>
    </row>
    <row r="14" customFormat="false" ht="15" hidden="false" customHeight="false" outlineLevel="0" collapsed="false">
      <c r="A14" s="4" t="s">
        <v>95</v>
      </c>
      <c r="B14" s="4" t="s">
        <v>98</v>
      </c>
      <c r="C14" s="4" t="s">
        <v>99</v>
      </c>
      <c r="D14" s="6"/>
      <c r="E14" s="6"/>
      <c r="F14" s="6"/>
      <c r="G14" s="6"/>
    </row>
    <row r="15" customFormat="false" ht="15" hidden="false" customHeight="false" outlineLevel="0" collapsed="false">
      <c r="A15" s="4" t="s">
        <v>100</v>
      </c>
      <c r="B15" s="4" t="s">
        <v>101</v>
      </c>
      <c r="C15" s="4" t="s">
        <v>102</v>
      </c>
      <c r="D15" s="6"/>
      <c r="E15" s="6"/>
      <c r="F15" s="6"/>
      <c r="G15" s="6"/>
    </row>
    <row r="16" customFormat="false" ht="15" hidden="false" customHeight="false" outlineLevel="0" collapsed="false">
      <c r="A16" s="4" t="s">
        <v>100</v>
      </c>
      <c r="B16" s="4" t="s">
        <v>103</v>
      </c>
      <c r="C16" s="4" t="s">
        <v>104</v>
      </c>
      <c r="D16" s="6"/>
      <c r="E16" s="6"/>
      <c r="F16" s="6"/>
      <c r="G16" s="6"/>
    </row>
    <row r="17" customFormat="false" ht="15" hidden="false" customHeight="false" outlineLevel="0" collapsed="false">
      <c r="A17" s="4" t="s">
        <v>100</v>
      </c>
      <c r="B17" s="4" t="s">
        <v>105</v>
      </c>
      <c r="C17" s="4" t="s">
        <v>106</v>
      </c>
      <c r="D17" s="6"/>
      <c r="E17" s="6"/>
      <c r="F17" s="6"/>
      <c r="G17" s="6"/>
    </row>
    <row r="18" customFormat="false" ht="15" hidden="false" customHeight="false" outlineLevel="0" collapsed="false">
      <c r="A18" s="4" t="s">
        <v>100</v>
      </c>
      <c r="B18" s="4" t="s">
        <v>107</v>
      </c>
      <c r="C18" s="4" t="s">
        <v>108</v>
      </c>
      <c r="D18" s="6"/>
      <c r="E18" s="6"/>
      <c r="F18" s="6"/>
      <c r="G18" s="6"/>
    </row>
    <row r="19" customFormat="false" ht="15" hidden="false" customHeight="false" outlineLevel="0" collapsed="false">
      <c r="A19" s="4" t="s">
        <v>109</v>
      </c>
      <c r="B19" s="4" t="s">
        <v>101</v>
      </c>
      <c r="C19" s="4" t="s">
        <v>110</v>
      </c>
      <c r="D19" s="6"/>
      <c r="E19" s="6"/>
      <c r="F19" s="6"/>
      <c r="G19" s="6"/>
    </row>
    <row r="20" customFormat="false" ht="15" hidden="false" customHeight="false" outlineLevel="0" collapsed="false">
      <c r="A20" s="4" t="s">
        <v>109</v>
      </c>
      <c r="B20" s="4" t="s">
        <v>111</v>
      </c>
      <c r="C20" s="4" t="s">
        <v>112</v>
      </c>
      <c r="D20" s="6"/>
      <c r="E20" s="6"/>
      <c r="F20" s="6"/>
      <c r="G20" s="6"/>
    </row>
    <row r="21" customFormat="false" ht="15" hidden="false" customHeight="false" outlineLevel="0" collapsed="false">
      <c r="A21" s="4" t="s">
        <v>109</v>
      </c>
      <c r="B21" s="4" t="s">
        <v>113</v>
      </c>
      <c r="C21" s="4" t="s">
        <v>114</v>
      </c>
      <c r="D21" s="6"/>
      <c r="E21" s="6"/>
      <c r="F21" s="6"/>
      <c r="G21" s="6"/>
    </row>
    <row r="22" customFormat="false" ht="15" hidden="false" customHeight="false" outlineLevel="0" collapsed="false">
      <c r="A22" s="4" t="s">
        <v>115</v>
      </c>
      <c r="B22" s="4" t="s">
        <v>116</v>
      </c>
      <c r="C22" s="4" t="s">
        <v>117</v>
      </c>
      <c r="D22" s="6"/>
      <c r="E22" s="6"/>
      <c r="F22" s="6"/>
      <c r="G22" s="6"/>
    </row>
    <row r="23" customFormat="false" ht="15" hidden="false" customHeight="false" outlineLevel="0" collapsed="false">
      <c r="A23" s="4" t="s">
        <v>118</v>
      </c>
      <c r="B23" s="4" t="s">
        <v>119</v>
      </c>
      <c r="C23" s="4" t="s">
        <v>120</v>
      </c>
      <c r="D23" s="6"/>
      <c r="E23" s="6"/>
      <c r="F23" s="6"/>
      <c r="G23" s="6"/>
    </row>
    <row r="24" customFormat="false" ht="15" hidden="false" customHeight="false" outlineLevel="0" collapsed="false">
      <c r="A24" s="4" t="s">
        <v>118</v>
      </c>
      <c r="B24" s="4" t="s">
        <v>121</v>
      </c>
      <c r="C24" s="4" t="s">
        <v>122</v>
      </c>
      <c r="D24" s="6"/>
      <c r="E24" s="6"/>
      <c r="F24" s="6"/>
      <c r="G24" s="6"/>
    </row>
    <row r="25" customFormat="false" ht="15" hidden="false" customHeight="false" outlineLevel="0" collapsed="false">
      <c r="A25" s="4" t="s">
        <v>118</v>
      </c>
      <c r="B25" s="4" t="s">
        <v>113</v>
      </c>
      <c r="C25" s="4" t="s">
        <v>123</v>
      </c>
      <c r="D25" s="6"/>
      <c r="E25" s="6"/>
      <c r="F25" s="6"/>
      <c r="G25" s="6"/>
    </row>
    <row r="26" customFormat="false" ht="15" hidden="false" customHeight="false" outlineLevel="0" collapsed="false">
      <c r="A26" s="4" t="s">
        <v>124</v>
      </c>
      <c r="B26" s="4" t="s">
        <v>125</v>
      </c>
      <c r="C26" s="4" t="s">
        <v>126</v>
      </c>
      <c r="D26" s="6"/>
      <c r="E26" s="6"/>
      <c r="F26" s="6"/>
      <c r="G26" s="6"/>
    </row>
    <row r="27" customFormat="false" ht="15" hidden="false" customHeight="false" outlineLevel="0" collapsed="false">
      <c r="A27" s="4" t="s">
        <v>124</v>
      </c>
      <c r="B27" s="4" t="s">
        <v>127</v>
      </c>
      <c r="C27" s="4" t="s">
        <v>128</v>
      </c>
      <c r="D27" s="6"/>
      <c r="E27" s="6"/>
      <c r="F27" s="6"/>
      <c r="G27" s="6"/>
    </row>
    <row r="29" customFormat="false" ht="15" hidden="false" customHeight="false" outlineLevel="0" collapsed="false">
      <c r="B29" s="7" t="s">
        <v>129</v>
      </c>
      <c r="C29" s="7" t="str">
        <f aca="false">COUNTIF(D5:D27,"áno")&amp;" z "&amp;ROWS(D5:D27)</f>
        <v>0 z 23</v>
      </c>
    </row>
    <row r="30" customFormat="false" ht="15" hidden="false" customHeight="false" outlineLevel="0" collapsed="false">
      <c r="B30" s="7" t="s">
        <v>130</v>
      </c>
      <c r="C30" s="7" t="n">
        <f aca="false">SUM(E5:E27)</f>
        <v>0</v>
      </c>
    </row>
  </sheetData>
  <dataValidations count="1">
    <dataValidation allowBlank="false" errorStyle="stop" operator="between" showDropDown="false" showErrorMessage="false" showInputMessage="false" sqref="D5:D27" type="list">
      <formula1>"áno,nie,čiastočne"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14"/>
    <col collapsed="false" customWidth="true" hidden="false" outlineLevel="0" max="8" min="7" style="0" width="13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32"/>
  </cols>
  <sheetData>
    <row r="1" customFormat="false" ht="17.35" hidden="false" customHeight="false" outlineLevel="0" collapsed="false">
      <c r="A1" s="1" t="s">
        <v>131</v>
      </c>
    </row>
    <row r="2" customFormat="false" ht="15" hidden="false" customHeight="false" outlineLevel="0" collapsed="false">
      <c r="A2" s="2" t="s">
        <v>132</v>
      </c>
    </row>
    <row r="4" customFormat="false" ht="26.85" hidden="false" customHeight="false" outlineLevel="0" collapsed="false">
      <c r="A4" s="3" t="s">
        <v>133</v>
      </c>
      <c r="B4" s="3" t="s">
        <v>134</v>
      </c>
      <c r="C4" s="3" t="s">
        <v>135</v>
      </c>
      <c r="D4" s="3" t="s">
        <v>136</v>
      </c>
      <c r="E4" s="3" t="s">
        <v>137</v>
      </c>
      <c r="F4" s="3" t="s">
        <v>138</v>
      </c>
      <c r="G4" s="3" t="s">
        <v>139</v>
      </c>
      <c r="H4" s="3" t="s">
        <v>140</v>
      </c>
      <c r="I4" s="3" t="s">
        <v>141</v>
      </c>
      <c r="J4" s="3" t="s">
        <v>142</v>
      </c>
      <c r="K4" s="3" t="s">
        <v>143</v>
      </c>
    </row>
    <row r="5" customFormat="false" ht="15" hidden="false" customHeight="false" outlineLevel="0" collapsed="false">
      <c r="A5" s="6" t="s">
        <v>144</v>
      </c>
      <c r="B5" s="6" t="s">
        <v>145</v>
      </c>
      <c r="C5" s="6" t="n">
        <v>3</v>
      </c>
      <c r="D5" s="6" t="s">
        <v>146</v>
      </c>
      <c r="E5" s="6" t="n">
        <v>3</v>
      </c>
      <c r="F5" s="6" t="n">
        <v>3</v>
      </c>
      <c r="G5" s="6" t="n">
        <v>2</v>
      </c>
      <c r="H5" s="6" t="n">
        <v>2</v>
      </c>
      <c r="I5" s="6" t="n">
        <v>3</v>
      </c>
      <c r="J5" s="8" t="n">
        <f aca="false">IF(COUNT(E5:I5)=5,SUM(E5:I5),"")</f>
        <v>13</v>
      </c>
      <c r="K5" s="8" t="str">
        <f aca="false">IF(J5="","",IF(G5=1,"Modelové dáta alebo po workshope",IF(J5&gt;=12,"Vhodná na vlastný projekt",IF(J5&gt;=9,"Zvážiť","Odložiť"))))</f>
        <v>Vhodná na vlastný projekt</v>
      </c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8" t="str">
        <f aca="false">IF(COUNT(E6:I6)=5,SUM(E6:I6),"")</f>
        <v/>
      </c>
      <c r="K6" s="8" t="str">
        <f aca="false">IF(J6="","",IF(G6=1,"Modelové dáta alebo po workshope",IF(J6&gt;=12,"Vhodná na vlastný projekt",IF(J6&gt;=9,"Zvážiť","Odložiť"))))</f>
        <v/>
      </c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6"/>
      <c r="H7" s="6"/>
      <c r="I7" s="6"/>
      <c r="J7" s="8" t="str">
        <f aca="false">IF(COUNT(E7:I7)=5,SUM(E7:I7),"")</f>
        <v/>
      </c>
      <c r="K7" s="8" t="str">
        <f aca="false">IF(J7="","",IF(G7=1,"Modelové dáta alebo po workshope",IF(J7&gt;=12,"Vhodná na vlastný projekt",IF(J7&gt;=9,"Zvážiť","Odložiť"))))</f>
        <v/>
      </c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  <c r="H8" s="6"/>
      <c r="I8" s="6"/>
      <c r="J8" s="8" t="str">
        <f aca="false">IF(COUNT(E8:I8)=5,SUM(E8:I8),"")</f>
        <v/>
      </c>
      <c r="K8" s="8" t="str">
        <f aca="false">IF(J8="","",IF(G8=1,"Modelové dáta alebo po workshope",IF(J8&gt;=12,"Vhodná na vlastný projekt",IF(J8&gt;=9,"Zvážiť","Odložiť"))))</f>
        <v/>
      </c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  <c r="H9" s="6"/>
      <c r="I9" s="6"/>
      <c r="J9" s="8" t="str">
        <f aca="false">IF(COUNT(E9:I9)=5,SUM(E9:I9),"")</f>
        <v/>
      </c>
      <c r="K9" s="8" t="str">
        <f aca="false">IF(J9="","",IF(G9=1,"Modelové dáta alebo po workshope",IF(J9&gt;=12,"Vhodná na vlastný projekt",IF(J9&gt;=9,"Zvážiť","Odložiť"))))</f>
        <v/>
      </c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8" t="str">
        <f aca="false">IF(COUNT(E10:I10)=5,SUM(E10:I10),"")</f>
        <v/>
      </c>
      <c r="K10" s="8" t="str">
        <f aca="false">IF(J10="","",IF(G10=1,"Modelové dáta alebo po workshope",IF(J10&gt;=12,"Vhodná na vlastný projekt",IF(J10&gt;=9,"Zvážiť","Odložiť"))))</f>
        <v/>
      </c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8" t="str">
        <f aca="false">IF(COUNT(E11:I11)=5,SUM(E11:I11),"")</f>
        <v/>
      </c>
      <c r="K11" s="8" t="str">
        <f aca="false">IF(J11="","",IF(G11=1,"Modelové dáta alebo po workshope",IF(J11&gt;=12,"Vhodná na vlastný projekt",IF(J11&gt;=9,"Zvážiť","Odložiť"))))</f>
        <v/>
      </c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8" t="str">
        <f aca="false">IF(COUNT(E12:I12)=5,SUM(E12:I12),"")</f>
        <v/>
      </c>
      <c r="K12" s="8" t="str">
        <f aca="false">IF(J12="","",IF(G12=1,"Modelové dáta alebo po workshope",IF(J12&gt;=12,"Vhodná na vlastný projekt",IF(J12&gt;=9,"Zvážiť","Odložiť"))))</f>
        <v/>
      </c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8" t="str">
        <f aca="false">IF(COUNT(E13:I13)=5,SUM(E13:I13),"")</f>
        <v/>
      </c>
      <c r="K13" s="8" t="str">
        <f aca="false">IF(J13="","",IF(G13=1,"Modelové dáta alebo po workshope",IF(J13&gt;=12,"Vhodná na vlastný projekt",IF(J13&gt;=9,"Zvážiť","Odložiť"))))</f>
        <v/>
      </c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8" t="str">
        <f aca="false">IF(COUNT(E14:I14)=5,SUM(E14:I14),"")</f>
        <v/>
      </c>
      <c r="K14" s="8" t="str">
        <f aca="false">IF(J14="","",IF(G14=1,"Modelové dáta alebo po workshope",IF(J14&gt;=12,"Vhodná na vlastný projekt",IF(J14&gt;=9,"Zvážiť","Odložiť"))))</f>
        <v/>
      </c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8" t="str">
        <f aca="false">IF(COUNT(E15:I15)=5,SUM(E15:I15),"")</f>
        <v/>
      </c>
      <c r="K15" s="8" t="str">
        <f aca="false">IF(J15="","",IF(G15=1,"Modelové dáta alebo po workshope",IF(J15&gt;=12,"Vhodná na vlastný projekt",IF(J15&gt;=9,"Zvážiť","Odložiť"))))</f>
        <v/>
      </c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8" t="str">
        <f aca="false">IF(COUNT(E16:I16)=5,SUM(E16:I16),"")</f>
        <v/>
      </c>
      <c r="K16" s="8" t="str">
        <f aca="false">IF(J16="","",IF(G16=1,"Modelové dáta alebo po workshope",IF(J16&gt;=12,"Vhodná na vlastný projekt",IF(J16&gt;=9,"Zvážiť","Odložiť"))))</f>
        <v/>
      </c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8" t="str">
        <f aca="false">IF(COUNT(E17:I17)=5,SUM(E17:I17),"")</f>
        <v/>
      </c>
      <c r="K17" s="8" t="str">
        <f aca="false">IF(J17="","",IF(G17=1,"Modelové dáta alebo po workshope",IF(J17&gt;=12,"Vhodná na vlastný projekt",IF(J17&gt;=9,"Zvážiť","Odložiť"))))</f>
        <v/>
      </c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8" t="str">
        <f aca="false">IF(COUNT(E18:I18)=5,SUM(E18:I18),"")</f>
        <v/>
      </c>
      <c r="K18" s="8" t="str">
        <f aca="false">IF(J18="","",IF(G18=1,"Modelové dáta alebo po workshope",IF(J18&gt;=12,"Vhodná na vlastný projekt",IF(J18&gt;=9,"Zvážiť","Odložiť"))))</f>
        <v/>
      </c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8" t="str">
        <f aca="false">IF(COUNT(E19:I19)=5,SUM(E19:I19),"")</f>
        <v/>
      </c>
      <c r="K19" s="8" t="str">
        <f aca="false">IF(J19="","",IF(G19=1,"Modelové dáta alebo po workshope",IF(J19&gt;=12,"Vhodná na vlastný projekt",IF(J19&gt;=9,"Zvážiť","Odložiť"))))</f>
        <v/>
      </c>
    </row>
    <row r="21" customFormat="false" ht="15" hidden="false" customHeight="false" outlineLevel="0" collapsed="false">
      <c r="A21" s="10" t="s">
        <v>147</v>
      </c>
    </row>
  </sheetData>
  <dataValidations count="2">
    <dataValidation allowBlank="false" errorStyle="stop" operator="between" showDropDown="false" showErrorMessage="false" showInputMessage="false" sqref="E5:I19" type="whole">
      <formula1>1</formula1>
      <formula2>3</formula2>
    </dataValidation>
    <dataValidation allowBlank="false" errorStyle="stop" operator="between" showDropDown="false" showErrorMessage="false" showInputMessage="false" sqref="D5:D19" type="list">
      <formula1>"projekt,agent"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4"/>
    <col collapsed="false" customWidth="true" hidden="false" outlineLevel="0" max="9" min="9" style="0" width="10"/>
    <col collapsed="false" customWidth="true" hidden="false" outlineLevel="0" max="10" min="10" style="0" width="22"/>
  </cols>
  <sheetData>
    <row r="1" customFormat="false" ht="17.35" hidden="false" customHeight="false" outlineLevel="0" collapsed="false">
      <c r="A1" s="1" t="s">
        <v>148</v>
      </c>
    </row>
    <row r="2" customFormat="false" ht="15" hidden="false" customHeight="false" outlineLevel="0" collapsed="false">
      <c r="A2" s="2" t="s">
        <v>149</v>
      </c>
    </row>
    <row r="4" customFormat="false" ht="26.85" hidden="false" customHeight="false" outlineLevel="0" collapsed="false">
      <c r="A4" s="3" t="s">
        <v>133</v>
      </c>
      <c r="B4" s="3" t="s">
        <v>150</v>
      </c>
      <c r="C4" s="3" t="s">
        <v>151</v>
      </c>
      <c r="D4" s="3" t="s">
        <v>152</v>
      </c>
      <c r="E4" s="3" t="s">
        <v>153</v>
      </c>
      <c r="F4" s="3" t="s">
        <v>154</v>
      </c>
      <c r="G4" s="3" t="s">
        <v>155</v>
      </c>
      <c r="H4" s="3" t="s">
        <v>156</v>
      </c>
      <c r="I4" s="3" t="s">
        <v>157</v>
      </c>
      <c r="J4" s="3" t="s">
        <v>158</v>
      </c>
    </row>
    <row r="5" customFormat="false" ht="15" hidden="false" customHeight="false" outlineLevel="0" collapsed="false">
      <c r="A5" s="6"/>
      <c r="B5" s="6"/>
      <c r="C5" s="6"/>
      <c r="D5" s="6"/>
      <c r="E5" s="6"/>
      <c r="F5" s="6"/>
      <c r="G5" s="6"/>
      <c r="H5" s="6"/>
      <c r="I5" s="11" t="str">
        <f aca="false">IF(COUNT(B5:H5)=7,AVERAGE(B5:H5),"")</f>
        <v/>
      </c>
      <c r="J5" s="0" t="str">
        <f aca="false">IF(I5="","",IF(I5&gt;=2,"Funkčný prototyp","Doplniť"))</f>
        <v/>
      </c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11" t="str">
        <f aca="false">IF(COUNT(B6:H6)=7,AVERAGE(B6:H6),"")</f>
        <v/>
      </c>
      <c r="J6" s="0" t="str">
        <f aca="false">IF(I6="","",IF(I6&gt;=2,"Funkčný prototyp","Doplniť"))</f>
        <v/>
      </c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6"/>
      <c r="H7" s="6"/>
      <c r="I7" s="11" t="str">
        <f aca="false">IF(COUNT(B7:H7)=7,AVERAGE(B7:H7),"")</f>
        <v/>
      </c>
      <c r="J7" s="0" t="str">
        <f aca="false">IF(I7="","",IF(I7&gt;=2,"Funkčný prototyp","Doplniť"))</f>
        <v/>
      </c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  <c r="H8" s="6"/>
      <c r="I8" s="11" t="str">
        <f aca="false">IF(COUNT(B8:H8)=7,AVERAGE(B8:H8),"")</f>
        <v/>
      </c>
      <c r="J8" s="0" t="str">
        <f aca="false">IF(I8="","",IF(I8&gt;=2,"Funkčný prototyp","Doplniť"))</f>
        <v/>
      </c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  <c r="H9" s="6"/>
      <c r="I9" s="11" t="str">
        <f aca="false">IF(COUNT(B9:H9)=7,AVERAGE(B9:H9),"")</f>
        <v/>
      </c>
      <c r="J9" s="0" t="str">
        <f aca="false">IF(I9="","",IF(I9&gt;=2,"Funkčný prototyp","Doplniť"))</f>
        <v/>
      </c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  <c r="H10" s="6"/>
      <c r="I10" s="11" t="str">
        <f aca="false">IF(COUNT(B10:H10)=7,AVERAGE(B10:H10),"")</f>
        <v/>
      </c>
      <c r="J10" s="0" t="str">
        <f aca="false">IF(I10="","",IF(I10&gt;=2,"Funkčný prototyp","Doplniť"))</f>
        <v/>
      </c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11" t="str">
        <f aca="false">IF(COUNT(B11:H11)=7,AVERAGE(B11:H11),"")</f>
        <v/>
      </c>
      <c r="J11" s="0" t="str">
        <f aca="false">IF(I11="","",IF(I11&gt;=2,"Funkčný prototyp","Doplniť"))</f>
        <v/>
      </c>
    </row>
  </sheetData>
  <dataValidations count="1">
    <dataValidation allowBlank="false" errorStyle="stop" operator="between" showDropDown="false" showErrorMessage="false" showInputMessage="false" sqref="B5:H11" type="whole">
      <formula1>1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95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" t="s">
        <v>159</v>
      </c>
    </row>
    <row r="2" customFormat="false" ht="15" hidden="false" customHeight="false" outlineLevel="0" collapsed="false">
      <c r="A2" s="2" t="s">
        <v>160</v>
      </c>
    </row>
    <row r="4" customFormat="false" ht="15" hidden="false" customHeight="false" outlineLevel="0" collapsed="false">
      <c r="A4" s="3" t="s">
        <v>161</v>
      </c>
      <c r="B4" s="3" t="s">
        <v>162</v>
      </c>
      <c r="C4" s="3" t="s">
        <v>163</v>
      </c>
    </row>
    <row r="5" customFormat="false" ht="26.85" hidden="false" customHeight="false" outlineLevel="0" collapsed="false">
      <c r="A5" s="4" t="s">
        <v>164</v>
      </c>
      <c r="B5" s="12" t="s">
        <v>165</v>
      </c>
      <c r="C5" s="4" t="s">
        <v>166</v>
      </c>
    </row>
    <row r="6" customFormat="false" ht="26.85" hidden="false" customHeight="false" outlineLevel="0" collapsed="false">
      <c r="A6" s="4" t="s">
        <v>167</v>
      </c>
      <c r="B6" s="12" t="s">
        <v>168</v>
      </c>
      <c r="C6" s="4" t="s">
        <v>166</v>
      </c>
    </row>
    <row r="7" customFormat="false" ht="15" hidden="false" customHeight="false" outlineLevel="0" collapsed="false">
      <c r="A7" s="4" t="s">
        <v>169</v>
      </c>
      <c r="B7" s="12" t="s">
        <v>170</v>
      </c>
      <c r="C7" s="4" t="s">
        <v>166</v>
      </c>
    </row>
    <row r="8" customFormat="false" ht="15" hidden="false" customHeight="false" outlineLevel="0" collapsed="false">
      <c r="A8" s="4" t="s">
        <v>171</v>
      </c>
      <c r="B8" s="12" t="s">
        <v>172</v>
      </c>
      <c r="C8" s="4" t="s">
        <v>166</v>
      </c>
    </row>
    <row r="9" customFormat="false" ht="15" hidden="false" customHeight="false" outlineLevel="0" collapsed="false">
      <c r="A9" s="4" t="s">
        <v>173</v>
      </c>
      <c r="B9" s="12" t="s">
        <v>174</v>
      </c>
      <c r="C9" s="4" t="s">
        <v>166</v>
      </c>
    </row>
    <row r="10" customFormat="false" ht="15" hidden="false" customHeight="false" outlineLevel="0" collapsed="false">
      <c r="A10" s="4" t="s">
        <v>175</v>
      </c>
      <c r="B10" s="12" t="s">
        <v>176</v>
      </c>
      <c r="C10" s="4" t="s">
        <v>166</v>
      </c>
    </row>
    <row r="11" customFormat="false" ht="15" hidden="false" customHeight="false" outlineLevel="0" collapsed="false">
      <c r="A11" s="4" t="s">
        <v>177</v>
      </c>
      <c r="B11" s="12" t="s">
        <v>178</v>
      </c>
      <c r="C11" s="4" t="s">
        <v>166</v>
      </c>
    </row>
  </sheetData>
  <hyperlinks>
    <hyperlink ref="B5" r:id="rId1" display="https://help.openai.com/en/articles/20001143-chatgpt-workspace-agents-for-enterprise-and-business"/>
    <hyperlink ref="B6" r:id="rId2" display="https://developers.openai.com/cookbook/articles/chatgpt-agents-sales-meeting-prep"/>
    <hyperlink ref="B7" r:id="rId3" display="https://help.openai.com/en/articles/11391654-chatgpt-business-release-notes"/>
    <hyperlink ref="B8" r:id="rId4" display="https://learn.chatgpt.com/docs/use-chatgpt"/>
    <hyperlink ref="B9" r:id="rId5" display="https://learn.chatgpt.com/docs/pricing"/>
    <hyperlink ref="B10" r:id="rId6" display="https://learn.chatgpt.com/docs/enterprise/roles-and-workspace-permissions"/>
    <hyperlink ref="B11" r:id="rId7" display="https://learn.chatgpt.com/docs/enterprise/apps-and-connector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2026-10-10T10:19:41Z</dcterms:created>
  <dc:creator>openpyxl</dc:creator>
  <dc:description/>
  <dc:language>en-US</dc:language>
  <cp:lastModifiedBy/>
  <dcterms:modified xsi:type="dcterms:W3CDTF">2026-10-10T10:19:41Z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